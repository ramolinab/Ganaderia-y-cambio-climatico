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am\Downloads\GANADERÍA &amp; CAMBIO CLIMÁTICO\PROYECTO_GANADERÍA&amp;CAMBIOCLIMÁTICO_2025\Artículo\"/>
    </mc:Choice>
  </mc:AlternateContent>
  <xr:revisionPtr revIDLastSave="0" documentId="13_ncr:1_{5B19FC9C-EC50-46BC-8D26-867E6BD270AD}" xr6:coauthVersionLast="45" xr6:coauthVersionMax="45" xr10:uidLastSave="{00000000-0000-0000-0000-000000000000}"/>
  <bookViews>
    <workbookView xWindow="-120" yWindow="-120" windowWidth="20730" windowHeight="11040" xr2:uid="{ED8C040C-850E-447B-8D1D-75EB3A687252}"/>
  </bookViews>
  <sheets>
    <sheet name="Hoja1" sheetId="1" r:id="rId1"/>
    <sheet name="EstudiosXEspecieXPeligro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B14" i="3"/>
  <c r="C12" i="3" l="1"/>
  <c r="D12" i="3"/>
  <c r="E12" i="3"/>
  <c r="F12" i="3"/>
  <c r="G12" i="3"/>
  <c r="B12" i="3"/>
</calcChain>
</file>

<file path=xl/sharedStrings.xml><?xml version="1.0" encoding="utf-8"?>
<sst xmlns="http://schemas.openxmlformats.org/spreadsheetml/2006/main" count="298" uniqueCount="227">
  <si>
    <t>Especie</t>
  </si>
  <si>
    <t>Peligro</t>
  </si>
  <si>
    <t>Componente económico</t>
  </si>
  <si>
    <t>Componente social</t>
  </si>
  <si>
    <t>Componente ambiental</t>
  </si>
  <si>
    <t>Aumento de la temperatura</t>
  </si>
  <si>
    <t>*Mayor carga de trabajo para manejo de agua y sombra; *Necesidad de capacitación en adaptación (prácticas de bienestar, calendario agroclimático); *Posible reconfiguración de roles familiares.</t>
  </si>
  <si>
    <t>Ovinos</t>
  </si>
  <si>
    <t>*Incremento de estrés calórico en ovinos (↑ITH), mayor temperatura rectal, taquipnea y posible caída de rendimiento reproductivo; *Mayor riesgo de baja calidad seminal afectada en corderos bajo calor; *Reducción de ganancia de peso si no hay sombra o ajustes de dieta; *Costos por pérdidas productivas y necesidad de inversiones en sombra, agua y manejo del calor.</t>
  </si>
  <si>
    <t>*Intensificación del uso de recursos (agua y praderas); *Sin adaptación, mayor presión sobre fuentes hídricas locales.</t>
  </si>
  <si>
    <t>Sequía</t>
  </si>
  <si>
    <t>*Disminución de disponibilidad y calidad de forraje nativo; *Caída de ganancias de peso y condición corporal; *Mayor anemia y cargas parasitarias si hay estrés nutricional; *Pérdidas por mortalidad/ventas forzadas; *Costos iniciales altos por establecimiento de estrategias de mitigación (forrajes/agua).</t>
  </si>
  <si>
    <t>*Estrategias locales de resiliencia (conocimiento Wayuu, movilidad de rebaños, redes solidarias); *Necesidad de apoyo institucional para acceso a agua y forrajes; *Tensión por uso de fuentes hídricas.</t>
  </si>
  <si>
    <t>*Degradación de praderas y suelos si no se gestiona.</t>
  </si>
  <si>
    <t>Heladas</t>
  </si>
  <si>
    <t>*Caídas de producción de leche/carne y mayor morbilidad neonatal en páramos; *Alteraciones reproductivas por frío extremo en lactancias; *Necesidad de manejo de refugio/abrigo y ajuste de calendarios; *Altos costos por infraestructura de abrigo y forraje conservado.</t>
  </si>
  <si>
    <t>*Aumento de vulnerabilidad de pequeños productores; *Importancia de planes prediales de adaptación y gobernanza local en páramos.</t>
  </si>
  <si>
    <t>*Riesgo a servicios ecosistémicos (fotosíntesis, infiltración del agua, biodiversidad); *Pérdida de cobertura vegetal; *Erosión del suelo; *Pérdida de microorganismos sensibles al frío, esenciales para la fertilidad.</t>
  </si>
  <si>
    <t>Calor extremo (olas de calor)</t>
  </si>
  <si>
    <t>*Eventos de calor agudo disparan estrés térmico severo en ovinos (↑FR, ↑TR, ↓bienestar), reducen consumo y eficiencia; *En carneros jóvenes, el calor reduce calidad seminal; *Pérdidas por baja productividad y reproducción.</t>
  </si>
  <si>
    <t>*Necesidad de alertas tempranas y prácticas de protección animal; *Más trabajo en suministro de agua y vigilancia de bienestar.</t>
  </si>
  <si>
    <t>*Mayor presión sobre el recurso hídrico; *Vulnerabilidad a incendios.</t>
  </si>
  <si>
    <t>Precipitaciones extremas</t>
  </si>
  <si>
    <t>*Impacto en sanidad (↑riesgo de fasciolosis y otros helmintos en condiciones húmedas); *Daños a infraestructura y praderas; *Riesgo de brotes sanitarios; *Costos por afectaciones y reposición; necesidad de drenajes y manejo hídrico; *Pérdidas en productividad si hay inundación de potreros.</t>
  </si>
  <si>
    <t>*Disrupción de calendarios y acceso; *Necesidad de coordinación institucional (DRR local) y soporte social para recuperación.</t>
  </si>
  <si>
    <t>*Erosión laminar y escorrentía.</t>
  </si>
  <si>
    <t>Inundaciones</t>
  </si>
  <si>
    <t>*Mortalidad y desplazamiento de animales; *Contaminación de agua y mayor riesgo de enfermedades; *Pérdida de reservas forrajeras; *Fuertes pérdidas de activos; costos de reubicación y recuperación; *Relevancia de seguros y planes de riesgo predial.</t>
  </si>
  <si>
    <t>*Afectación de medios de vida, seguridad alimentaria y movilidad de familias; *Necesidad de redes de apoyo y respuesta rápida.</t>
  </si>
  <si>
    <t>*Compactación y degradación de suelos; *Restauración de coberturas y control de escorrentía necesarios post-evento.</t>
  </si>
  <si>
    <t>Incendios</t>
  </si>
  <si>
    <t>*Pérdida de praderas y cercas; *Riesgo sanitario por humo/estrés; *Interrupción de ciclos productivos; *Costos de reconstrucción y pérdida de ingresos; *Necesidad de planificación de cortafuegos y diversificación de forrajes.</t>
  </si>
  <si>
    <t>*Afectación comunitaria; *Importancia de educación y prevención; *Presión sobre tierras vecinas.</t>
  </si>
  <si>
    <t>*Emisiones de CO2; *Pérdida de cobertura vegetal; *Pérdida de biodiversidad</t>
  </si>
  <si>
    <t>Tormentas</t>
  </si>
  <si>
    <t>*Daños a infraestructura (corrales, bebederos, cercas); *Riesgo de lesiones en animales (p. ej., impacto de rayos en animales); *Necesidad de refugios seguros; *Gastos de reparación y medidas preventivas (pararrayos, arboricultura segura).</t>
  </si>
  <si>
    <t>*Incremento de riesgos para familias y trabajadores; *Necesidad de protocolos de seguridad.</t>
  </si>
  <si>
    <t>*Caída de árboles y desorden de coberturas</t>
  </si>
  <si>
    <t>Cambios en las coberturas naturales</t>
  </si>
  <si>
    <t>*Expansión/contracción de área útil para pastoreo; *En páramos, transición obligada reduce actividad ovina intensiva; *Cambios en costos e ingresos por transición de uso (conservación vs. producción); *Potencial de ingresos por diversificación (madera/fruta en SSP).</t>
  </si>
  <si>
    <t>*Conflictos/ajustes por delimitación de páramos; *Importancia de participación comunitaria y conocimiento agropastoral; *Movilidad de rebaños como estrategia social.</t>
  </si>
  <si>
    <t>*Deforestación aumenta vulnerabilidad; *Prevención de ganadería en zonas no aptas.</t>
  </si>
  <si>
    <t>Caprinos</t>
  </si>
  <si>
    <t>*Afecta la fisiología, el comportamiento, la producción y el bienestar animal; *Aunque el caprino tiene mayor capacidad de adaptación que el bovino, el calor excesivo reduce el consumo de alimento y la producción de leche y carne.</t>
  </si>
  <si>
    <t>No se encontró información para Caprinos en Colombia.</t>
  </si>
  <si>
    <t>*El aumento de temperatura, junto con otros factores como la radiación UV, puede tener un efecto positivo en la degradación de los residuos orgánicos (estiércol), favoreciendo la estabilización del carbono y el nitrógeno en la materia orgánica, aunque también aumenta la producción de algunos gases como N₂O.</t>
  </si>
  <si>
    <t>*Causa escasez de forraje y agua, disminuyendo la disponibilidad de alimento y la calidad de la dieta, lo cual impacta directamente en la producción de leche y carne; *Incrementa los costos operativos por la necesidad de suplementación alimenticia y acarreo de agua.</t>
  </si>
  <si>
    <t>*Aumenta la vulnerabilidad y la inseguridad alimentaria en los hogares, especialmente en las zonas más secas y con pequeños productores que dependen de la ganadería caprina; *Puede generar conflictos por el uso del agua y los pastos.</t>
  </si>
  <si>
    <t>*Ocasiona degradación de la tierra y pérdida de cobertura vegetal debido a la reducción de la humedad del suelo y la presión del pastoreo en áreas limitadas.</t>
  </si>
  <si>
    <t>*Aumenta el riesgo de golpe de calor en los animales, afectando la fertilidad (tasa de concepción y calidad del semen) y aumentando la mortalidad, lo que se traduce en pérdidas económicas</t>
  </si>
  <si>
    <t>*En ecosistemas de alta montaña como el páramo de Santander, las heladas afectan la disponibilidad y calidad de los pastos y forrajes para la alimentación del ganado menor (incluyendo caprinos).</t>
  </si>
  <si>
    <t>*El aumento de la humedad ambiental y la acumulación de agua favorecen la proliferación de parásitos gastrointestinales y la incidencia de enfermedades infecciosas en rumiantes, lo que aumenta los costos de tratamiento y afecta la productividad</t>
  </si>
  <si>
    <t>*Causa anegamiento de pasturas, limitando el acceso al alimento, y puede generar erosión del suelo y arrastre de nutrientes.</t>
  </si>
  <si>
    <t>*Genera la pérdida directa de animales, infraestructura (cercas, corrales), y alimento almacenado;  *Aumenta la incidencia de enfermedades transmitidas por el agua y vectores, afectando la salud animal</t>
  </si>
  <si>
    <t>*Puede causar desplazamiento forzado de las familias productoras, pérdida de activos (animales) y deterioro de la calidad de vida, afectando el tejido social y la seguridad alimentaria</t>
  </si>
  <si>
    <t>*Destrucción de la cobertura vegetal, contaminación de fuentes de agua y alteración de los ecosistemas locales.</t>
  </si>
  <si>
    <t>*La expansión o intensificación agrícola/ganadera en respuesta a cambios climáticos puede desplazar a los sistemas caprinos, tradicionalmente en zonas marginales;  *La pérdida de ecosistemas naturales (como páramos) reduce la diversidad de forrajes, afectando la nutrición y adaptabilidad de los caprinos</t>
  </si>
  <si>
    <t>*Afecta la dinámica territorial y los modos de vida campesinos en zonas sensibles, limitando el acceso a recursos naturales comunitarios</t>
  </si>
  <si>
    <t>*Aumento de la presión sobre áreas de conservación (ej. Páramos en Santander) por el desplazamiento de la frontera agrícola/ganadera</t>
  </si>
  <si>
    <t>Búfalos</t>
  </si>
  <si>
    <t>*Menor consumo y eficiencia alimentaria; *Caída en ganancia de peso y producción de leche en climas cálidos; *Necesidad de inversiones en sombra, acceso a agua y charcas para mantener confort térmico; *Taquipnea y alcalosis respiratoria; *Alteración hormonal (↓T3/T4) que afecta reproducción; *Mayor riesgo de enfermedades asociadas a estrés térmico; *Costos crecientes por mitigación (sombreamiento, agua); *Potenciales pérdidas por menor productividad.</t>
  </si>
  <si>
    <t>*Mayor tiempo de reposo y búsqueda de sombra/agua; *Peor disposición para el trabajo de tiro en horas de calor; *Más fatiga percibida por operarios; *Capacitación en manejo térmico se vuelve crítica</t>
  </si>
  <si>
    <t>*Mayor presión sobre cuerpos de agua (uso intensivo para revolcarse); *Necesidad de restaurar corredores de sombra; *Potencial degradación por sobreuso de zonas húmedas si el manejo es deficiente.</t>
  </si>
  <si>
    <t>*Reducción de disponibilidad y calidad de forraje; *Caída en fertilidad, peso y edad de beneficio; *Aumento de costos de suplementación y agua; *Mayor exposición a hemoparásitos por estrés y concentración en pocas fuentes de agua; *Riesgo de leptospirosis si se usan aguas contaminadas; *Pérdidas por menor producción, mayor mortalidad y gasto en insumos; *Encarecimiento de granos (maíz/soya) usados en suplementación.</t>
  </si>
  <si>
    <t>*Afecta ingresos y seguridad alimentaria; *Puede inducir migración temporal de mano de obra; *Mayor carga de trabajo para acarrear agua/forraje; *Necesidad de redes comunitarias para almacenamiento de agua y bancos forrajeros.</t>
  </si>
  <si>
    <t>*Sobrepastoreo y compactación por concentración en parches; *Riesgo de incendios; *Disminución de caudales y pérdida de hábitats acuáticos.</t>
  </si>
  <si>
    <t>*Descenso de consumo (desvío energético a termogénesis); *Mayor requerimiento energético y necesidad de refugio; *Potenciales pérdidas de producción en zonas altoandinas; *Mayor incidencia de neumonías en crías; *Necesidad de cobertizos y cama seca; Costos adicionales en infraestructura de resguardo y suplementación energética.</t>
  </si>
  <si>
    <t>*Animales buscan resguardo y contacto cercano (“termorregulación social”); *Impacto en jornadas de trabajo en tiro.</t>
  </si>
  <si>
    <t>*Heladas reducen biomasa forrajera y dañan pasturas; *Necesidad de especies forrajeras tolerantes al frío.</t>
  </si>
  <si>
    <t>*Caída marcada en producción de leche y crecimiento; *Reducción voluntaria de ingesta 9–13%; *Necesidad de charcas/sistema de enfriamiento; *Peores resultados en animales de alta producción; *↑Respiración y temperatura rectal; *Estrés oxidativo y ↑cortisol; *Alteración reproductiva (↓estro y concepción); *Pérdidas por menor rendimiento; *Inversión en infraestructura de enfriamiento.</t>
  </si>
  <si>
    <t>*Recorte de faenas diurnas de tiro; *Más accidentes por fatiga; *Necesidad de reorganizar horarios.</t>
  </si>
  <si>
    <t>*Uso intensivo de agua para termorregulación; *Si no hay manejo, degradación de orillas/charcas.</t>
  </si>
  <si>
    <t>*Anegamiento de potreros dificulta pastoreo y acceso; *Interrupciones de ordeño/colección; *Aumento de costos logísticos; *↑Leptospirosis por contaminación de aguas; *↑Trypanosoma sp. en zonas con alta actividad de tábanos; *Abortos y problemas reproductivos asociados; *Pérdidas por interrupción de cadenas, decomisos sanitarios, tratamientos.</t>
  </si>
  <si>
    <t>*Afectación de vivienda y vías rurales; *Aumento de vulnerabilidad; *Necesidad de planes comunitarios de contingencia.</t>
  </si>
  <si>
    <t>*Erosión de suelos y escorrentía; *Presión sobre humedales; *Cambios en dinámica de patógenos y vectores.</t>
  </si>
  <si>
    <t>*Pérdida temporal de potreros; *Dificultad de manejo y acceso; *Riesgo de mortalidad de crías; *Impacto en logística de leche/carne; *↑Enfermedades hídricas (leptospirosis); *↑estrés y susceptibilidad a infecciones; *Potencial contaminación de agua y alimentos; *Costos por reubicación, rescate y recuperación de infraestructura.</t>
  </si>
  <si>
    <t>*Desplazamientos forzados; *Ruptura de redes de apoyo; *Mayor carga emocional en familias ganaderas.</t>
  </si>
  <si>
    <t>*Degradación de praderas, compactación post‑inundación; *Cambios en cobertura y biodiversidad local.</t>
  </si>
  <si>
    <t>*Pérdida de coberturas forrajeras; *Caída abrupta de disponibilidad de alimento; *Costos de restablecimiento; *Interrupción de operación; *Lesiones por humo/calor; *Estrés severo; *Mayor exposición a polvo/partículas post‑incendio; *Gastos en control y restauración; *Pérdida de activos naturales (cercas vivas, bancos forrajeros).</t>
  </si>
  <si>
    <t>*Riesgo a vida y bienes; *Necesidad de brigadas y capacitación; *Cohesión comunitaria puesta a prueba.</t>
  </si>
  <si>
    <t>*Pérdida de suelo orgánico, biodiversidad y calidad del agua; *Mayor erosión y desertificación.</t>
  </si>
  <si>
    <t>*Daño en infraestructura (corrales, bebederos, vías); *Interrupción de ordeño y transporte; *Pérdidas de energía eléctrica; *Afectación del bienestar animal; *Traumas y estrés; *Riesgo de zoonosis por cambios súbitos en exposición a vectores; *Costos de reparación y contingencias</t>
  </si>
  <si>
    <t>*Afectación de escuelas/servicios; *Reorganización de trabajo familiar; *Necesidad de seguros.</t>
  </si>
  <si>
    <t>*Caída de árboles y cambios de microhábitats; *Posible contaminación por derrames.</t>
  </si>
  <si>
    <t>*Conversión de bosques y humedales reduce abrigos y regulación térmica; *Peor desempeño en calor; *Pérdida de servicios ecosistémicos que sostienen productividad (ciclos hídricos, sombra); *Alteración de ciclos de vectores (más tábanos/roedores); *↑exposición a patógenos hídricos; *Menor resiliencia del sistema; *Mayores costos por insumos para compensar servicios ecosistémicos perdidos.</t>
  </si>
  <si>
    <t>*Conflictos por uso de suelo; *Pérdida de identidad cultural y prácticas agroecológicas; *Debilitamiento de cooperación comunitaria.</t>
  </si>
  <si>
    <t>*Pérdida de biodiversidad y carbono; *Degradación de suelos; *Disminución de regulación climática local.</t>
  </si>
  <si>
    <t>Porcinos</t>
  </si>
  <si>
    <t>Aumento de
la
temperatura</t>
  </si>
  <si>
    <t>*Menor consumo de alimento, caída en ganancia de peso y conversión; *Descenso de fertilidad y prolificidad en cerdas; *Riesgo de calidad de carne por estrés térmico; *Mayores costos en ventilación, enfriamiento y agua.</t>
  </si>
  <si>
    <t>*Mayor carga laboral por manejo del calor, conflictos por olores y uso de agua *Necesidad de capacitación en bienestar y manejo térmico.</t>
  </si>
  <si>
    <t>*Incremento de demanda hidrica y energia; *Mayores emisiones asociadas a enfriamiento ineficiente; *Presion sobre fuentes de agua locales.</t>
  </si>
  <si>
    <t>*Caida de disponibilidad y calidad de agua, incremento de enfermedades digestivas (perdidas productivas), aumento de mortalidad/merma en crecimiento; *Costos por abastecimiento alterno y tratamiento de agua.</t>
  </si>
  <si>
    <t>*Disputas locales por agua; *Vulnerabilidad de pequeños productores; *Necesidad de protocolos de ahorro y priorización de agua de bebida.</t>
  </si>
  <si>
    <t>*Descenso de caudales y humedad del suelo; *Deterioro de calidad del agua; *Mayor huella hídrica por ineficiencias.</t>
  </si>
  <si>
    <t>*Frio por debajo de temperatura critica incrementa consumo y empeora conversion; *Riesgo en lechones (hipotermia) con pérdidas; *Costos de calefacción/camas.</t>
  </si>
  <si>
    <t>*Necesidad de adecuar instalaciones y prácticas (camas, cortavientos) en regiones altoandinas; *Más exigencia de asistencia técnica.</t>
  </si>
  <si>
    <t>*Mayor uso de materiales (paja/madera) y energía para calefacción; *Posible presión sobre recursos locales.</t>
  </si>
  <si>
    <t>Calor extremo
(olas de calor)</t>
  </si>
  <si>
    <t>*Reducción fuerte de consumo y crecimiento, caída de producción de calostro y fertilidad; *Mayor uso de agua (hasta 50% más); *Costos por sistemas de enfriamiento, mortalidades puntuales.</t>
  </si>
  <si>
    <t>*Estrés laboral y de animales; *Necesidad de planes de contingencia; *Percepción comunitaria por olores y descargas.</t>
  </si>
  <si>
    <t>*Picos de demanda hídrica y eléctrica; *Potencial aumento de vertimientos y emisiones si el manejo es inadecuado.</t>
  </si>
  <si>
    <t>*Afectaciones a infraestructura, interrupciones de suministro; *Riesgo sanitario por lavado de patógenos hacia bebederos; *Costos por drenajes y bioseguridad.</t>
  </si>
  <si>
    <t>*Mayor exposición a conflictos por olores y escorrentías; *Necesidad de coordinación comunitaria en gestión de riesgo.</t>
  </si>
  <si>
    <t>*Erosión de suelos, colmatación de lagunas/estercoleros; *Desbordes con impacto en cuerpos de agua.</t>
  </si>
  <si>
    <t>*Pérdidas por daños en instalaciones; *Interrupción de alimentación; *Mayor incidencia de enfermedades; *Gastos en reubicación/mitigación.</t>
  </si>
  <si>
    <t>*Afectación de medios de vida y seguridad alimentaria; *Emergencias locales; *Demanda de apoyo institucional.</t>
  </si>
  <si>
    <t>*Contaminación por arrastre de porcinaza, lixiviados y patógenos; *Deterioro de ecosistemas acuáticos.</t>
  </si>
  <si>
    <t>*Riesgo de pérdidas catastróficas; *Aumento de costos de prevención (cortafuegos, equipos); *Interrupción de cadenas de suministro.</t>
  </si>
  <si>
    <t>*Impactos en salud comunitaria por humo; *Tensión social por origen/gestión de incendios.</t>
  </si>
  <si>
    <t>*Pérdida de coberturas vegetales; *Deterioro de calidad del aire y suelos; *Riesgo de escorrentía contaminante post-incendio.</t>
  </si>
  <si>
    <t>*Daños en techos, energía y agua; *Costos de reparación y refuerzo; *Efectos en bienestar animal y productividad.</t>
  </si>
  <si>
    <t>*Necesidad de protocolos de emergencia; *Posibles conflictos por reparaciones y priorización de servicios.</t>
  </si>
  <si>
    <t>*Dispersión de residuos, riesgos de derrames de porcinaza; *Afectación de biodiversidad local.</t>
  </si>
  <si>
    <t>Cambios en las
coberturas
naturales</t>
  </si>
  <si>
    <t>*Pérdida de servicios ecosistémicos (sombra, regulación hídrica) que elevan costos térmicos; *Vulnerabilidad a ENSO; *Potencial impacto en disponibilidad de insumos locales.</t>
  </si>
  <si>
    <t>*Conflictos socioambientales por uso de suelo; *Presión sobre economías campesinas; *Necesidad de gobernanza territorial.</t>
  </si>
  <si>
    <t>*Reducción de biodiversidad y regulación hídrica; *Aumento de emisiones y huella por sistemas convencionales.</t>
  </si>
  <si>
    <t>Avicultura</t>
  </si>
  <si>
    <t>*Disminución del consumo de alimento y del crecimiento; *Peor conversión; *Mayor mortalidad; *Caídas en producción de huevo y calidad de cáscara; *Costos por ventilación y mitigación; *Pérdidas logísticas por restricciones térmicas en transporte.</t>
  </si>
  <si>
    <t>Mayor estrés animal visible (jadeo, apatía) y conflictos por olores y confort en granjas cercanas a áreas residenciales; *Necesidad de capacitar personal en manejo de calor; *Afectación del bienestar percibido por comunidades.</t>
  </si>
  <si>
    <t>*Humedad interna elevada (&gt;70%) con cama húmeda y amoníaco; *Mayor riesgo sanitario y emisiones.</t>
  </si>
  <si>
    <t>*Escasez y/o mala calidad del agua reduce consumo y desempeño; *Costos en tratamiento y sanitización; *Riesgos de interrupción productiva.</t>
  </si>
  <si>
    <t>*Tensiones por uso de agua y vulnerabilidad de pequeños productores;*Necesidad de organización comunitaria para riego.</t>
  </si>
  <si>
    <t>*Presión sobre fuentes y acuíferos; *Mayor concentración de solutos y biopelículas en tuberías.</t>
  </si>
  <si>
    <t>No se encontró evidencia específica para avicultura en Colombia (efectos directos sobre producción/sanidad) en las fuentes consultadas.</t>
  </si>
  <si>
    <t>No se encontró evidencia específica.</t>
  </si>
  <si>
    <t>No se encontró información para dar respuesta</t>
  </si>
  <si>
    <t>*Hipertermia con mortalidad súbita, caída marcada del consumo, alcalosis respiratoria, inmunosupresión, pérdidas de peso canal y aumento de grasa; *Incremento de costos por emergencia (ventilación, nebulización, agua fría).</t>
  </si>
  <si>
    <t>*Mayor carga laboral en horas críticas; *Necesidad de protocolos de bienestar y comunicación con comunidades por eventos de mortalidad; *Impacto emocional en operarios.</t>
  </si>
  <si>
    <t xml:space="preserve">*Picos de humedad interna y amoníaco; *Disposición de mortalidades y riesgo sanitario. </t>
  </si>
  <si>
    <t>*Aumento de humedad en galpones, deterioro de cama y salud respiratoria; *Interrupciones en cadena de suministro; *Mayores costos de mantenimiento e impermeabilización.</t>
  </si>
  <si>
    <t>*Riesgos de acceso a granjas, seguridad de personal y comunidades; *Posibles conflictos por escorrentías/olores; *Necesidad de planes de contingencia.</t>
  </si>
  <si>
    <t>*Saturación de suelos, escorrentías contaminantes y mayores emisiones de amoníaco</t>
  </si>
  <si>
    <t>*Pérdidas de inventario (aves, alimento), daños en infraestructura y equipos; *Interrupción productiva y logística; *Costos de bioseguridad y recuperación.</t>
  </si>
  <si>
    <t>*Afectación de movilidad local, salud pública y percepción social de riesgo; *Necesidad de apoyo institucional.</t>
  </si>
  <si>
    <t xml:space="preserve">*Contaminación de cuerpos de agua por cama y mortalidades; *Riesgo de brotes sanitarios. </t>
  </si>
  <si>
    <t>No se encontró evidencia específica para avicultura en Colombia</t>
  </si>
  <si>
    <t xml:space="preserve">Tormentas </t>
  </si>
  <si>
    <t>*Daños en cubiertas, estructuras y sistemas eléctricos; *Pérdidas por interrupción; *Costos en refuerzo y seguros.</t>
  </si>
  <si>
    <t>*Riesgos de seguridad laboral y comunitaria; *Necesidad de protocolos de emergencia.</t>
  </si>
  <si>
    <t>*Residuos y vertimientos accidentales.</t>
  </si>
  <si>
    <t>*Expansión residencial cerca de granjas aumenta conflictos por olores/ruidos y restricciones operativas; *Presión regulatoria y costos de adaptación.</t>
  </si>
  <si>
    <t>*Conflictos socioambientales (vecindarios/autoridades); *Cambios de ordenamiento territorial (POT) que limitan operación</t>
  </si>
  <si>
    <t xml:space="preserve">*Pérdida de barreras vegetales y microclimas favorables, mayor exposición a calor. </t>
  </si>
  <si>
    <t>Bovinos</t>
  </si>
  <si>
    <t>*Afecta medios de vida de pequeños productores por reducción de ingresos; *Obliga a ajustar carga animal y vender animales en picos de calor; *Aumenta vulnerabilidad en sistemas convencionales frente a silvopastoriles.</t>
  </si>
  <si>
    <t xml:space="preserve">*Incremento de emisiones por menor eficiencia (más CH4 y N2O por menor digestibilidad); *Compactación de suelos al buscar sombra limitada, y pérdida de cobertura vegetal. </t>
  </si>
  <si>
    <t>*Reducción de forraje (en sistemas de temporal el forraje puede ser “casi nulo” de diciembre a marzo); *Necesidad de compra/traslado de pastos y suplementos; *Incremento en aplicaciones de riego (duplicación de láminas y número de riegos vs climatología); *Caídas en producción de leche y carne, muertes por sed (p. ej., 130.000 bovinos por sed en “El Niño” 2015–2016).</t>
  </si>
  <si>
    <t>*Mayor vulnerabilidad e inseguridad de ingresos (venta forzada de animales; reubicaciones de hato); *Aumenta trabajo y costos logísticos para agua y alimento; *Mujeres con menor acceso a recursos sufren más carga de cuidado.</t>
  </si>
  <si>
    <t>*Descenso de caudales y deterioro de fuentes hídricas por concentración de animales; *Sobrepastoreo y compactación incrementan erosión; *Pérdida de biodiversidad en ecosistemas secos.</t>
  </si>
  <si>
    <t>*Afecta hogares altoandinos con pequeños hatos (costos de suplementación y desmotiva permanencia de jóvenes); *Necesidad de infraestructura de resguardo.</t>
  </si>
  <si>
    <t>*Daño de cobertura herbácea y lenta recuperación vegetal; *Riesgo de erosión por pérdida de cubierta y radiación nocturna; *Cambios en composición florística.</t>
  </si>
  <si>
    <t>*Caída brusca de producción láctea y reproductiva; *Aumento de mortalidad (picos de calor 2019–2020 con &gt;34.000 muertes reportadas en 2 meses; aumentan días abiertos en lechería y baja concepción).</t>
  </si>
  <si>
    <t>*Estrés térmico en regiones cálidas incrementa costos de manejo y agua; *Hogares con ingresos inestables venden animales para liquidez; *Migraciones temporales.</t>
  </si>
  <si>
    <t>*Aumento de demanda hídrica y presión sobre acuíferos; *Mayor emisión por menor eficiencia alimentaria; *Pérdida de bienestar animal y biodiversidad</t>
  </si>
  <si>
    <t>*Encharcamientos y pudrición de pasturas; *Reducción de forraje cosechable; *Aumento de enfermedades fúngicas y bacterianas; *Mayor gasto en drenajes y suplementos; *Dificultades de acceso a ordeño por lodazales.</t>
  </si>
  <si>
    <t>*Cortes de vías terciarias incrementan costos y tiempos de comercialización; *Mayor riesgo sanitario en hogares; *Necesidad de asociatividad para acopio y transformación.</t>
  </si>
  <si>
    <t>*Incremento de escorrentías y pérdida de suelo; *Eutrofización de cuerpos de agua por excretas; *Degradación de praderas; mayor sedimento en microcuencas</t>
  </si>
  <si>
    <t>*Cierres de vías (en carretera en promedio 5,9% del tiempo); *Pérdidas de forraje e infraestructura; *Mayor presencia de enfermedades; *Caída en entregas de leche y carne.</t>
  </si>
  <si>
    <t>*Desplazamiento de familias y ganado; *Incremento de pobreza temporal y gasto en recuperación; *Afecta seguridad alimentaria local.</t>
  </si>
  <si>
    <t>*Arrastre de sedimentos; *Contaminación de agua; *Pérdida de hábitat ribereño; *Degradación de suelos.</t>
  </si>
  <si>
    <t>*Interrupciones de transporte y logística de acopio; *Potencial daño a infraestructura de ordeño y bodegas; *Incremento de costos de operación.</t>
  </si>
  <si>
    <t>*Mayor riesgo a personas y animales; *Necesidad de planes de emergencia; *Vulnerabilidad de pequeños productores con baja infraestructura.</t>
  </si>
  <si>
    <t>*Caídas de árboles y daños a cercas vivas; *Afectación de conectividad ecológica; *Aporte a erosión por vientos y lluvias.</t>
  </si>
  <si>
    <t>*Expansión ganadera hacia áreas frágiles genera mayores costos futuros por suelos menos productivos; *Conflictos por uso del suelo y pérdida de servicios ecosistémicos afecta productividad.</t>
  </si>
  <si>
    <t>*Conflictos socio-territoriales; *Pérdida de valores culturales; *Precarización de economías locales por degradación de base natural.</t>
  </si>
  <si>
    <t xml:space="preserve">*Deforestación y fragmentación (páramos y bosques andinos); *Pérdida de biodiversidad y regulación hídrica; *Contaminación por agroquímicos; *Erosión; *Eutrofización de humedales. </t>
  </si>
  <si>
    <t>García Y González et al., 2024; McCormick-Palacios et al., 2025; Cuartas - Cardona et al., 2014; Murgueitio Restrepo et al., 2016; Peri et al., 2024; Arango et al., 2016; Tapasco et al., 2019; Díaz-Almanza et al., 2025; Guáqueta-Solórzano et al., 2025; FEDEGAN - FNG, 2025; Gerber et al., 2013</t>
  </si>
  <si>
    <t>Romero Espinosa et al., 2020; Suárez Paternina et al., 2025; Del Valle Moreno et al., 2019; Araujo-Carrillo et al., 2019; Lombo Ortiz et al., 2021; Arango et al., 2016; Cuartas - Cardona et al., 2014; Díaz-Almanza et al., 2025</t>
  </si>
  <si>
    <t>Leal Molina, 2021; Guáqueta-Solórzano et al., 2025; Ríos et al., 2022; Chohan et al., 2024; Durana et al., 2023</t>
  </si>
  <si>
    <t>García Y González et al., 2024; McCormick-Palacios et al., 2025; Cuartas - Cardona et al., 2014;Murgueitio Restrepo et al., 2016; Peri et al., 2024; Gerber et al., 2013</t>
  </si>
  <si>
    <t>Pérez Mazzali et al., 2022; Waked &amp; Jaime, 2025; Arango et al., 2016; Del Valle Moreno et al., 2019</t>
  </si>
  <si>
    <t>Waked &amp; Jaime, 2025; Ríos et al., 2022; Arango et al., 2016</t>
  </si>
  <si>
    <t>Peri et al., 2024; Arango et al., 2016; Cuartas - Cardona et al., 2014</t>
  </si>
  <si>
    <t>Kunda &amp; Jaśkowski, 2024; Arango et al., 2016</t>
  </si>
  <si>
    <t>Chohan et al., 2024; Durana et al., 2023; Tapasco et al., 2019; Peri et al., 2024; Gerber et al., 2013</t>
  </si>
  <si>
    <t>Guáqueta-Solórzano et al., 2025</t>
  </si>
  <si>
    <t>Henry et al., 2018</t>
  </si>
  <si>
    <t>Daza Andrada, 2023; González-Salcedo et al., 2020; Rodríguez et al., 2021; Ochoa, 2024</t>
  </si>
  <si>
    <t>Porkcolombia, 2024; Rodríguez et al., 2021; Ochoa, 2024</t>
  </si>
  <si>
    <t>Daza Andrada, 2023; Guáqueta-Solórzano et al., 2025</t>
  </si>
  <si>
    <t>Porkcolombia, 2024; Daza Andrada, 2023; González-Salcedo et al., 2020</t>
  </si>
  <si>
    <t>PorkColombia, 2024; Pinto et al., 2008</t>
  </si>
  <si>
    <t>Rodríguez et al., 2021; Pinto et al., 2008; Ochoa, 2024</t>
  </si>
  <si>
    <t>Rodríguez et al., 2021; Ochoa, 2024</t>
  </si>
  <si>
    <t>Rodríguez et al., 2021</t>
  </si>
  <si>
    <t>Ochoa, 2024; Rodríguez et al., 2021; Feola et al., 2015; Guáqueta-Solórzano et al., 2025</t>
  </si>
  <si>
    <t>Huertas González et al., 2020; Henry et al., 2018; Barros Gómez et al., 2017</t>
  </si>
  <si>
    <t>Henry et al., 2018; Tapasco et al., 2015; Menjura Martínez, 2021; Barros Gómez et al., 2017</t>
  </si>
  <si>
    <t>Henry et al., 2018; Barros Gómez et al., 2017</t>
  </si>
  <si>
    <t>Tapasco et al., 2015; Rivera et al., 2018</t>
  </si>
  <si>
    <t>Estrada P. &amp; Márquez G., 2005; Fenavi, 2017</t>
  </si>
  <si>
    <t>Chávez Mora, 2018; FAO, 2013; Fenavi, 2022</t>
  </si>
  <si>
    <t>Fenavi, 2017; Fenavi, 2022</t>
  </si>
  <si>
    <t>Fenavi, 2017</t>
  </si>
  <si>
    <t>Díaz-Almanza et al., 2025; Guáqueta-Solórzano et al., 2025; Durana et al., 2023</t>
  </si>
  <si>
    <t>DNP-BID, 2014</t>
  </si>
  <si>
    <t>Durana et al., 2023; Tapasco et al., 2019; Lerner et al., 2017</t>
  </si>
  <si>
    <t>Suárez et al., 2013; FEDEGAN - FNG, 2025; DNP-BID, 2014; Lozano Montoya, 2024; DANE, 2016; Correa-García et al., 2022; Burkart et al., 2022</t>
  </si>
  <si>
    <t>Chiariotti et al., 2025; Mitat Valdés, 2011</t>
  </si>
  <si>
    <t>Raquel-montes et al., 2022; Zapata et al., 2009; Betancurt Rendón, 2023; FEDEGAN - FNG, 2025</t>
  </si>
  <si>
    <t>Raquel-montes et al., 2022; Betancurt Rendón, 2023; FEDEGAN - FNG, 2025</t>
  </si>
  <si>
    <t>FEDEGAN - FNG, 2025</t>
  </si>
  <si>
    <t>FEDEGAN - FNG, 2025; Escobar Carbonari et al., 2020</t>
  </si>
  <si>
    <t>Betancurt Rendón, 2023; Escobar Carbonari et al., 2020; Banco Mundial et al., 2021</t>
  </si>
  <si>
    <t>DNP-BID, 2014; Durana et al., 2023; Sánchez Echavarría, 2021</t>
  </si>
  <si>
    <t>Berdugo-Gutiérrez et al., 2018; Chiariotti et al., 2025; Betancurt Rendón, 2023; BARRERA BARAJAS, 2021; Huerta Leidenz &amp; Arenas de Moreno, 2025</t>
  </si>
  <si>
    <t>FEDEGAN - FNG, 2025; Escobar Carbonari et al., 2020; Raquel-montes et al., 2022; Zapata et al., 2009; BMC, 2023; Huerta Leidenz &amp; Arenas de Moreno, 2025</t>
  </si>
  <si>
    <t>Berdugo-Gutiérrez et al., 2018; Chiariotti et al., 2025; Betancurt Rendón, 2023; Huerta Leidenz &amp; Arenas de Moreno, 2025</t>
  </si>
  <si>
    <t xml:space="preserve">Referencias </t>
  </si>
  <si>
    <t>Durana et al., 2023; Trejo et al., 2023; Martínez et al., 2017</t>
  </si>
  <si>
    <t>*Reducción de la calidad y oferta de pasturas de kikuyo y caída en producción láctea (63,5 millones de litros registrada durante
febrero de 2010); *Mayor enfermedad podal por pisos congelados. * Muertes y desplazamientos de animales</t>
  </si>
  <si>
    <t>*Disminuye consumo e ingesta por estrés calórico; *Baja producción de leche (hasta 25–30%); *Reduce calidad de la leche*Caída en ganancia de peso; *Menor fertilidad; *Mayor mortalidad en eventos cálidos y pérdidas económicas; *Aumentos de días abiertos y descenso de concepción en lechería; *Incremento de parásitos (garrapatas) y mastitis en verano; *Mayor gasto en insumos sanitarios y agua.</t>
  </si>
  <si>
    <t>Góngora &amp; Hernández, 2010; Suárez et al., 2013; Tapasco et al., 2019; Durana et al., 2023; DNP-BID, 2014; Veléz-terranova et al., 2021; Molina Benavides et al., 2022; Rocha et al., 2019; Lozano Montoya, 2024; DANE, 2016; Correa-García et al., 2022; Burkart et al., 2022; Molina et al., 2016; Molina Benavides et al., 2022; García Gómez, 2019; Regino &amp; Rodriguez, 2019; Vélez-Terranova et al., 2023; Guerrero &amp; Londoño, 2014; Ramírez-Restrepo &amp; Vera-Infanzón, 2019; Lourdes Peñuela et al., 2019; Bravo Parra, 2020; González et al., 2020; FEDEGAN, 2018</t>
  </si>
  <si>
    <t>Díaz-Almanza et al., 2025; Guáqueta-Solórzano et al., 2025; DNP-BID, 2014; Burkart et al., 2022; Bravo Parra, 2020; FEDEGAN, 2018</t>
  </si>
  <si>
    <t>Calor extremo</t>
  </si>
  <si>
    <t>Peligros climáticos</t>
  </si>
  <si>
    <t>Aves de corral</t>
  </si>
  <si>
    <t>*Problemas de salud por humo (respiratorios); *Afectación de infraestructura y economías locales; *Necesidad de estrategias de manejo del fuego.</t>
  </si>
  <si>
    <t>*Homogenización y dominancia de gramíneas resistentes; *Reducción de cobertura total y presión sobre biodiversidad; *Pérdida de microorganismos del suelo.</t>
  </si>
  <si>
    <t>González et al., 2025; Huertas Herrera et al., 2021</t>
  </si>
  <si>
    <t>*Eleva pérdidas productivas y costos de producción.</t>
  </si>
  <si>
    <t>*El exceso de humedad y las inundaciones generan condiciones que favorecen la aparición de enfermedades en los caprinos; *Se exacerba la escasez de alimentos para el ganado (a diferencia de lo que se podría pensar sobre la lluvia y el pasto, el exceso hídrico súbito limita la disponibilidad de forraje aprovechable); *Se interrumpe el transporte hacia los mercados locales debido al mal estado de las vías (que se vuelven pantanos), lo que reduce drásticamente las oportunidades de venta de los animales y sus derivados.</t>
  </si>
  <si>
    <t>*Afecta desproporcionadamente a las mujeres (quienes suelen estar a cargo del pastoreo y el hogar). El trabajo doméstico se complica y aumenta; por ejemplo, cocinar se vuelve más difícil porque la leña se moja; *A diferencia de la sequía (para la cual la cultura Wayuu tiene prácticas adaptativas ancestrales), las comunidades tienen menos estrategias para afrontar las inundaciones por tormentas, lo que genera mayor vulnerabilidad; *Se interrumpen los procesos de comercio de toda la cadena de negocio, afectando el sustento diario y la seguridad alimentaria de la familia pastoralista; *Daños en la infraestructura rural; *Las lluvias fuertes convierten los caminos y zonas de tránsito en pantanos ("swamps"), dificultando la movilidad y alterando el terreno.</t>
  </si>
  <si>
    <t>*Las tormentas y ciclones contribuyen significativamente a la erosión costera</t>
  </si>
  <si>
    <t>Fernández Lopera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</si>
</sst>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F34-9D98-49E4-8169-FAE85A87689A}">
  <dimension ref="A1:F55"/>
  <sheetViews>
    <sheetView tabSelected="1" topLeftCell="A55" zoomScaleNormal="100" workbookViewId="0">
      <selection sqref="A1:E55"/>
    </sheetView>
  </sheetViews>
  <sheetFormatPr baseColWidth="10" defaultRowHeight="15" x14ac:dyDescent="0.25"/>
  <cols>
    <col min="2" max="2" width="14.85546875" customWidth="1"/>
    <col min="3" max="3" width="30.5703125" customWidth="1"/>
    <col min="4" max="4" width="22.42578125" customWidth="1"/>
    <col min="5" max="5" width="22.28515625" bestFit="1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210</v>
      </c>
    </row>
    <row r="2" spans="1:6" ht="228" customHeight="1" x14ac:dyDescent="0.25">
      <c r="A2" s="13" t="s">
        <v>7</v>
      </c>
      <c r="B2" s="2" t="s">
        <v>5</v>
      </c>
      <c r="C2" s="3" t="s">
        <v>8</v>
      </c>
      <c r="D2" s="3" t="s">
        <v>6</v>
      </c>
      <c r="E2" s="3" t="s">
        <v>9</v>
      </c>
      <c r="F2" s="6" t="s">
        <v>168</v>
      </c>
    </row>
    <row r="3" spans="1:6" ht="209.25" customHeight="1" x14ac:dyDescent="0.25">
      <c r="A3" s="13"/>
      <c r="B3" s="4" t="s">
        <v>10</v>
      </c>
      <c r="C3" s="3" t="s">
        <v>11</v>
      </c>
      <c r="D3" s="3" t="s">
        <v>12</v>
      </c>
      <c r="E3" s="3" t="s">
        <v>13</v>
      </c>
      <c r="F3" s="6" t="s">
        <v>169</v>
      </c>
    </row>
    <row r="4" spans="1:6" ht="198" customHeight="1" x14ac:dyDescent="0.25">
      <c r="A4" s="13"/>
      <c r="B4" s="4" t="s">
        <v>14</v>
      </c>
      <c r="C4" s="3" t="s">
        <v>15</v>
      </c>
      <c r="D4" s="3" t="s">
        <v>16</v>
      </c>
      <c r="E4" s="3" t="s">
        <v>17</v>
      </c>
      <c r="F4" s="6" t="s">
        <v>170</v>
      </c>
    </row>
    <row r="5" spans="1:6" ht="149.25" customHeight="1" x14ac:dyDescent="0.25">
      <c r="A5" s="13"/>
      <c r="B5" s="2" t="s">
        <v>18</v>
      </c>
      <c r="C5" s="3" t="s">
        <v>19</v>
      </c>
      <c r="D5" s="3" t="s">
        <v>20</v>
      </c>
      <c r="E5" s="3" t="s">
        <v>21</v>
      </c>
      <c r="F5" s="6" t="s">
        <v>171</v>
      </c>
    </row>
    <row r="6" spans="1:6" ht="188.25" customHeight="1" x14ac:dyDescent="0.25">
      <c r="A6" s="13"/>
      <c r="B6" s="3" t="s">
        <v>22</v>
      </c>
      <c r="C6" s="3" t="s">
        <v>23</v>
      </c>
      <c r="D6" s="3" t="s">
        <v>24</v>
      </c>
      <c r="E6" s="3" t="s">
        <v>25</v>
      </c>
      <c r="F6" s="6" t="s">
        <v>172</v>
      </c>
    </row>
    <row r="7" spans="1:6" ht="157.5" customHeight="1" x14ac:dyDescent="0.25">
      <c r="A7" s="13"/>
      <c r="B7" s="4" t="s">
        <v>26</v>
      </c>
      <c r="C7" s="3" t="s">
        <v>27</v>
      </c>
      <c r="D7" s="3" t="s">
        <v>28</v>
      </c>
      <c r="E7" s="3" t="s">
        <v>29</v>
      </c>
      <c r="F7" s="6" t="s">
        <v>173</v>
      </c>
    </row>
    <row r="8" spans="1:6" ht="137.25" customHeight="1" x14ac:dyDescent="0.25">
      <c r="A8" s="13"/>
      <c r="B8" s="4" t="s">
        <v>30</v>
      </c>
      <c r="C8" s="3" t="s">
        <v>31</v>
      </c>
      <c r="D8" s="3" t="s">
        <v>32</v>
      </c>
      <c r="E8" s="3" t="s">
        <v>33</v>
      </c>
      <c r="F8" s="6" t="s">
        <v>174</v>
      </c>
    </row>
    <row r="9" spans="1:6" ht="159.75" customHeight="1" x14ac:dyDescent="0.25">
      <c r="A9" s="13"/>
      <c r="B9" s="4" t="s">
        <v>34</v>
      </c>
      <c r="C9" s="3" t="s">
        <v>35</v>
      </c>
      <c r="D9" s="3" t="s">
        <v>36</v>
      </c>
      <c r="E9" s="3" t="s">
        <v>37</v>
      </c>
      <c r="F9" s="6" t="s">
        <v>175</v>
      </c>
    </row>
    <row r="10" spans="1:6" ht="176.25" customHeight="1" x14ac:dyDescent="0.25">
      <c r="A10" s="13"/>
      <c r="B10" s="2" t="s">
        <v>38</v>
      </c>
      <c r="C10" s="3" t="s">
        <v>39</v>
      </c>
      <c r="D10" s="3" t="s">
        <v>40</v>
      </c>
      <c r="E10" s="3" t="s">
        <v>41</v>
      </c>
      <c r="F10" s="6" t="s">
        <v>176</v>
      </c>
    </row>
    <row r="11" spans="1:6" ht="287.25" customHeight="1" x14ac:dyDescent="0.25">
      <c r="A11" s="13" t="s">
        <v>42</v>
      </c>
      <c r="B11" s="2" t="s">
        <v>5</v>
      </c>
      <c r="C11" s="3" t="s">
        <v>43</v>
      </c>
      <c r="D11" s="3" t="s">
        <v>44</v>
      </c>
      <c r="E11" s="3" t="s">
        <v>45</v>
      </c>
      <c r="F11" s="6" t="s">
        <v>189</v>
      </c>
    </row>
    <row r="12" spans="1:6" ht="233.25" customHeight="1" x14ac:dyDescent="0.25">
      <c r="A12" s="13"/>
      <c r="B12" s="4" t="s">
        <v>10</v>
      </c>
      <c r="C12" s="3" t="s">
        <v>46</v>
      </c>
      <c r="D12" s="3" t="s">
        <v>47</v>
      </c>
      <c r="E12" s="3" t="s">
        <v>48</v>
      </c>
      <c r="F12" s="6" t="s">
        <v>188</v>
      </c>
    </row>
    <row r="13" spans="1:6" ht="138.75" customHeight="1" x14ac:dyDescent="0.25">
      <c r="A13" s="13"/>
      <c r="B13" s="4" t="s">
        <v>14</v>
      </c>
      <c r="C13" s="3" t="s">
        <v>50</v>
      </c>
      <c r="D13" s="3" t="s">
        <v>44</v>
      </c>
      <c r="E13" s="3" t="s">
        <v>44</v>
      </c>
      <c r="F13" s="6" t="s">
        <v>177</v>
      </c>
    </row>
    <row r="14" spans="1:6" ht="125.25" customHeight="1" x14ac:dyDescent="0.25">
      <c r="A14" s="13"/>
      <c r="B14" s="2" t="s">
        <v>18</v>
      </c>
      <c r="C14" s="3" t="s">
        <v>49</v>
      </c>
      <c r="D14" s="3" t="s">
        <v>44</v>
      </c>
      <c r="E14" s="3" t="s">
        <v>44</v>
      </c>
      <c r="F14" s="6" t="s">
        <v>178</v>
      </c>
    </row>
    <row r="15" spans="1:6" ht="163.5" customHeight="1" x14ac:dyDescent="0.25">
      <c r="A15" s="13"/>
      <c r="B15" s="2" t="s">
        <v>22</v>
      </c>
      <c r="C15" s="3" t="s">
        <v>51</v>
      </c>
      <c r="D15" s="3" t="s">
        <v>44</v>
      </c>
      <c r="E15" s="3" t="s">
        <v>52</v>
      </c>
      <c r="F15" s="6" t="s">
        <v>191</v>
      </c>
    </row>
    <row r="16" spans="1:6" ht="193.5" customHeight="1" x14ac:dyDescent="0.25">
      <c r="A16" s="13"/>
      <c r="B16" s="2" t="s">
        <v>26</v>
      </c>
      <c r="C16" s="3" t="s">
        <v>53</v>
      </c>
      <c r="D16" s="3" t="s">
        <v>54</v>
      </c>
      <c r="E16" s="3" t="s">
        <v>55</v>
      </c>
      <c r="F16" s="6" t="s">
        <v>190</v>
      </c>
    </row>
    <row r="17" spans="1:6" ht="54.75" customHeight="1" x14ac:dyDescent="0.25">
      <c r="A17" s="13"/>
      <c r="B17" s="2" t="s">
        <v>30</v>
      </c>
      <c r="C17" s="3" t="s">
        <v>44</v>
      </c>
      <c r="D17" s="3" t="s">
        <v>44</v>
      </c>
      <c r="E17" s="3" t="s">
        <v>44</v>
      </c>
      <c r="F17" s="3" t="s">
        <v>44</v>
      </c>
    </row>
    <row r="18" spans="1:6" ht="409.6" x14ac:dyDescent="0.25">
      <c r="A18" s="13"/>
      <c r="B18" s="2" t="s">
        <v>34</v>
      </c>
      <c r="C18" s="3" t="s">
        <v>223</v>
      </c>
      <c r="D18" s="3" t="s">
        <v>224</v>
      </c>
      <c r="E18" s="3" t="s">
        <v>225</v>
      </c>
      <c r="F18" s="3" t="s">
        <v>226</v>
      </c>
    </row>
    <row r="19" spans="1:6" ht="263.25" customHeight="1" x14ac:dyDescent="0.25">
      <c r="A19" s="13"/>
      <c r="B19" s="2" t="s">
        <v>38</v>
      </c>
      <c r="C19" s="3" t="s">
        <v>56</v>
      </c>
      <c r="D19" s="3" t="s">
        <v>57</v>
      </c>
      <c r="E19" s="3" t="s">
        <v>58</v>
      </c>
      <c r="F19" s="3" t="s">
        <v>177</v>
      </c>
    </row>
    <row r="20" spans="1:6" ht="297" customHeight="1" x14ac:dyDescent="0.25">
      <c r="A20" s="14" t="s">
        <v>59</v>
      </c>
      <c r="B20" s="2" t="s">
        <v>5</v>
      </c>
      <c r="C20" s="3" t="s">
        <v>60</v>
      </c>
      <c r="D20" s="3" t="s">
        <v>61</v>
      </c>
      <c r="E20" s="3" t="s">
        <v>62</v>
      </c>
      <c r="F20" s="3" t="s">
        <v>207</v>
      </c>
    </row>
    <row r="21" spans="1:6" ht="269.25" customHeight="1" x14ac:dyDescent="0.25">
      <c r="A21" s="15"/>
      <c r="B21" s="2" t="s">
        <v>10</v>
      </c>
      <c r="C21" s="3" t="s">
        <v>63</v>
      </c>
      <c r="D21" s="3" t="s">
        <v>64</v>
      </c>
      <c r="E21" s="3" t="s">
        <v>65</v>
      </c>
      <c r="F21" s="3" t="s">
        <v>208</v>
      </c>
    </row>
    <row r="22" spans="1:6" ht="223.5" customHeight="1" x14ac:dyDescent="0.25">
      <c r="A22" s="15"/>
      <c r="B22" s="2" t="s">
        <v>14</v>
      </c>
      <c r="C22" s="3" t="s">
        <v>66</v>
      </c>
      <c r="D22" s="3" t="s">
        <v>67</v>
      </c>
      <c r="E22" s="3" t="s">
        <v>68</v>
      </c>
      <c r="F22" s="3" t="s">
        <v>200</v>
      </c>
    </row>
    <row r="23" spans="1:6" ht="251.25" customHeight="1" x14ac:dyDescent="0.25">
      <c r="A23" s="15"/>
      <c r="B23" s="2" t="s">
        <v>18</v>
      </c>
      <c r="C23" s="3" t="s">
        <v>69</v>
      </c>
      <c r="D23" s="3" t="s">
        <v>70</v>
      </c>
      <c r="E23" s="3" t="s">
        <v>71</v>
      </c>
      <c r="F23" s="3" t="s">
        <v>209</v>
      </c>
    </row>
    <row r="24" spans="1:6" ht="216" customHeight="1" x14ac:dyDescent="0.25">
      <c r="A24" s="15"/>
      <c r="B24" s="2" t="s">
        <v>22</v>
      </c>
      <c r="C24" s="3" t="s">
        <v>72</v>
      </c>
      <c r="D24" s="3" t="s">
        <v>73</v>
      </c>
      <c r="E24" s="3" t="s">
        <v>74</v>
      </c>
      <c r="F24" s="3" t="s">
        <v>201</v>
      </c>
    </row>
    <row r="25" spans="1:6" ht="207" customHeight="1" x14ac:dyDescent="0.25">
      <c r="A25" s="15"/>
      <c r="B25" s="2" t="s">
        <v>26</v>
      </c>
      <c r="C25" s="3" t="s">
        <v>75</v>
      </c>
      <c r="D25" s="3" t="s">
        <v>76</v>
      </c>
      <c r="E25" s="3" t="s">
        <v>77</v>
      </c>
      <c r="F25" s="3" t="s">
        <v>202</v>
      </c>
    </row>
    <row r="26" spans="1:6" ht="203.25" customHeight="1" x14ac:dyDescent="0.25">
      <c r="A26" s="15"/>
      <c r="B26" s="2" t="s">
        <v>30</v>
      </c>
      <c r="C26" s="3" t="s">
        <v>78</v>
      </c>
      <c r="D26" s="3" t="s">
        <v>79</v>
      </c>
      <c r="E26" s="3" t="s">
        <v>80</v>
      </c>
      <c r="F26" s="3" t="s">
        <v>203</v>
      </c>
    </row>
    <row r="27" spans="1:6" ht="171" customHeight="1" x14ac:dyDescent="0.25">
      <c r="A27" s="15"/>
      <c r="B27" s="2" t="s">
        <v>34</v>
      </c>
      <c r="C27" s="3" t="s">
        <v>81</v>
      </c>
      <c r="D27" s="3" t="s">
        <v>82</v>
      </c>
      <c r="E27" s="3" t="s">
        <v>83</v>
      </c>
      <c r="F27" s="3" t="s">
        <v>204</v>
      </c>
    </row>
    <row r="28" spans="1:6" ht="255" customHeight="1" x14ac:dyDescent="0.25">
      <c r="A28" s="16"/>
      <c r="B28" s="2" t="s">
        <v>38</v>
      </c>
      <c r="C28" s="3" t="s">
        <v>84</v>
      </c>
      <c r="D28" s="3" t="s">
        <v>85</v>
      </c>
      <c r="E28" s="3" t="s">
        <v>86</v>
      </c>
      <c r="F28" s="3" t="s">
        <v>205</v>
      </c>
    </row>
    <row r="29" spans="1:6" ht="143.25" customHeight="1" x14ac:dyDescent="0.25">
      <c r="A29" s="13" t="s">
        <v>87</v>
      </c>
      <c r="B29" s="2" t="s">
        <v>88</v>
      </c>
      <c r="C29" s="5" t="s">
        <v>89</v>
      </c>
      <c r="D29" s="5" t="s">
        <v>90</v>
      </c>
      <c r="E29" s="6" t="s">
        <v>91</v>
      </c>
      <c r="F29" s="3" t="s">
        <v>179</v>
      </c>
    </row>
    <row r="30" spans="1:6" ht="141.75" customHeight="1" x14ac:dyDescent="0.25">
      <c r="A30" s="13"/>
      <c r="B30" s="7" t="s">
        <v>10</v>
      </c>
      <c r="C30" s="6" t="s">
        <v>92</v>
      </c>
      <c r="D30" s="6" t="s">
        <v>93</v>
      </c>
      <c r="E30" s="6" t="s">
        <v>94</v>
      </c>
      <c r="F30" s="6" t="s">
        <v>180</v>
      </c>
    </row>
    <row r="31" spans="1:6" ht="141.75" customHeight="1" x14ac:dyDescent="0.25">
      <c r="A31" s="13"/>
      <c r="B31" s="7" t="s">
        <v>14</v>
      </c>
      <c r="C31" s="6" t="s">
        <v>95</v>
      </c>
      <c r="D31" s="6" t="s">
        <v>96</v>
      </c>
      <c r="E31" s="6" t="s">
        <v>97</v>
      </c>
      <c r="F31" s="6" t="s">
        <v>181</v>
      </c>
    </row>
    <row r="32" spans="1:6" ht="131.25" customHeight="1" x14ac:dyDescent="0.25">
      <c r="A32" s="13"/>
      <c r="B32" s="2" t="s">
        <v>98</v>
      </c>
      <c r="C32" s="6" t="s">
        <v>99</v>
      </c>
      <c r="D32" s="6" t="s">
        <v>100</v>
      </c>
      <c r="E32" s="6" t="s">
        <v>101</v>
      </c>
      <c r="F32" s="6" t="s">
        <v>182</v>
      </c>
    </row>
    <row r="33" spans="1:6" ht="120.75" customHeight="1" x14ac:dyDescent="0.25">
      <c r="A33" s="13"/>
      <c r="B33" s="2" t="s">
        <v>22</v>
      </c>
      <c r="C33" s="6" t="s">
        <v>102</v>
      </c>
      <c r="D33" s="6" t="s">
        <v>103</v>
      </c>
      <c r="E33" s="6" t="s">
        <v>104</v>
      </c>
      <c r="F33" s="6" t="s">
        <v>183</v>
      </c>
    </row>
    <row r="34" spans="1:6" ht="125.25" customHeight="1" x14ac:dyDescent="0.25">
      <c r="A34" s="13"/>
      <c r="B34" s="2" t="s">
        <v>26</v>
      </c>
      <c r="C34" s="6" t="s">
        <v>105</v>
      </c>
      <c r="D34" s="6" t="s">
        <v>106</v>
      </c>
      <c r="E34" s="6" t="s">
        <v>107</v>
      </c>
      <c r="F34" s="6" t="s">
        <v>184</v>
      </c>
    </row>
    <row r="35" spans="1:6" ht="127.5" customHeight="1" x14ac:dyDescent="0.25">
      <c r="A35" s="13"/>
      <c r="B35" s="2" t="s">
        <v>30</v>
      </c>
      <c r="C35" s="6" t="s">
        <v>108</v>
      </c>
      <c r="D35" s="6" t="s">
        <v>109</v>
      </c>
      <c r="E35" s="6" t="s">
        <v>110</v>
      </c>
      <c r="F35" s="6" t="s">
        <v>185</v>
      </c>
    </row>
    <row r="36" spans="1:6" ht="111" customHeight="1" x14ac:dyDescent="0.25">
      <c r="A36" s="13"/>
      <c r="B36" s="2" t="s">
        <v>34</v>
      </c>
      <c r="C36" s="6" t="s">
        <v>111</v>
      </c>
      <c r="D36" s="6" t="s">
        <v>112</v>
      </c>
      <c r="E36" s="6" t="s">
        <v>113</v>
      </c>
      <c r="F36" s="6" t="s">
        <v>186</v>
      </c>
    </row>
    <row r="37" spans="1:6" ht="141" customHeight="1" x14ac:dyDescent="0.25">
      <c r="A37" s="13"/>
      <c r="B37" s="2" t="s">
        <v>114</v>
      </c>
      <c r="C37" s="6" t="s">
        <v>115</v>
      </c>
      <c r="D37" s="6" t="s">
        <v>116</v>
      </c>
      <c r="E37" s="6" t="s">
        <v>117</v>
      </c>
      <c r="F37" s="6" t="s">
        <v>187</v>
      </c>
    </row>
    <row r="38" spans="1:6" ht="210" customHeight="1" x14ac:dyDescent="0.25">
      <c r="A38" s="14" t="s">
        <v>118</v>
      </c>
      <c r="B38" s="7" t="s">
        <v>5</v>
      </c>
      <c r="C38" s="6" t="s">
        <v>119</v>
      </c>
      <c r="D38" s="6" t="s">
        <v>120</v>
      </c>
      <c r="E38" s="6" t="s">
        <v>121</v>
      </c>
      <c r="F38" s="6" t="s">
        <v>192</v>
      </c>
    </row>
    <row r="39" spans="1:6" ht="132.75" customHeight="1" x14ac:dyDescent="0.25">
      <c r="A39" s="15"/>
      <c r="B39" s="7" t="s">
        <v>10</v>
      </c>
      <c r="C39" s="6" t="s">
        <v>122</v>
      </c>
      <c r="D39" s="6" t="s">
        <v>123</v>
      </c>
      <c r="E39" s="6" t="s">
        <v>124</v>
      </c>
      <c r="F39" s="6" t="s">
        <v>193</v>
      </c>
    </row>
    <row r="40" spans="1:6" ht="75" x14ac:dyDescent="0.25">
      <c r="A40" s="15"/>
      <c r="B40" s="7" t="s">
        <v>14</v>
      </c>
      <c r="C40" s="6" t="s">
        <v>125</v>
      </c>
      <c r="D40" s="6" t="s">
        <v>126</v>
      </c>
      <c r="E40" s="6" t="s">
        <v>126</v>
      </c>
      <c r="F40" s="6" t="s">
        <v>127</v>
      </c>
    </row>
    <row r="41" spans="1:6" ht="187.5" customHeight="1" x14ac:dyDescent="0.25">
      <c r="A41" s="15"/>
      <c r="B41" s="7" t="s">
        <v>18</v>
      </c>
      <c r="C41" s="6" t="s">
        <v>128</v>
      </c>
      <c r="D41" s="6" t="s">
        <v>129</v>
      </c>
      <c r="E41" s="6" t="s">
        <v>130</v>
      </c>
      <c r="F41" s="6" t="s">
        <v>192</v>
      </c>
    </row>
    <row r="42" spans="1:6" ht="158.25" customHeight="1" x14ac:dyDescent="0.25">
      <c r="A42" s="15"/>
      <c r="B42" s="7" t="s">
        <v>22</v>
      </c>
      <c r="C42" s="6" t="s">
        <v>131</v>
      </c>
      <c r="D42" s="6" t="s">
        <v>132</v>
      </c>
      <c r="E42" s="6" t="s">
        <v>133</v>
      </c>
      <c r="F42" s="6" t="s">
        <v>192</v>
      </c>
    </row>
    <row r="43" spans="1:6" ht="121.5" customHeight="1" x14ac:dyDescent="0.25">
      <c r="A43" s="15"/>
      <c r="B43" s="7" t="s">
        <v>26</v>
      </c>
      <c r="C43" s="6" t="s">
        <v>134</v>
      </c>
      <c r="D43" s="6" t="s">
        <v>135</v>
      </c>
      <c r="E43" s="6" t="s">
        <v>136</v>
      </c>
      <c r="F43" s="6" t="s">
        <v>194</v>
      </c>
    </row>
    <row r="44" spans="1:6" ht="60" x14ac:dyDescent="0.25">
      <c r="A44" s="15"/>
      <c r="B44" s="7" t="s">
        <v>30</v>
      </c>
      <c r="C44" s="6" t="s">
        <v>137</v>
      </c>
      <c r="D44" s="6" t="s">
        <v>137</v>
      </c>
      <c r="E44" s="6" t="s">
        <v>137</v>
      </c>
      <c r="F44" s="6" t="s">
        <v>137</v>
      </c>
    </row>
    <row r="45" spans="1:6" ht="100.5" customHeight="1" x14ac:dyDescent="0.25">
      <c r="A45" s="15"/>
      <c r="B45" s="7" t="s">
        <v>138</v>
      </c>
      <c r="C45" s="6" t="s">
        <v>139</v>
      </c>
      <c r="D45" s="6" t="s">
        <v>140</v>
      </c>
      <c r="E45" s="6" t="s">
        <v>141</v>
      </c>
      <c r="F45" s="6" t="s">
        <v>195</v>
      </c>
    </row>
    <row r="46" spans="1:6" ht="118.5" customHeight="1" x14ac:dyDescent="0.25">
      <c r="A46" s="16"/>
      <c r="B46" s="7" t="s">
        <v>38</v>
      </c>
      <c r="C46" s="6" t="s">
        <v>142</v>
      </c>
      <c r="D46" s="6" t="s">
        <v>143</v>
      </c>
      <c r="E46" s="6" t="s">
        <v>144</v>
      </c>
      <c r="F46" s="6" t="s">
        <v>195</v>
      </c>
    </row>
    <row r="47" spans="1:6" ht="408.75" customHeight="1" x14ac:dyDescent="0.25">
      <c r="A47" s="13" t="s">
        <v>145</v>
      </c>
      <c r="B47" s="7" t="s">
        <v>5</v>
      </c>
      <c r="C47" s="6" t="s">
        <v>213</v>
      </c>
      <c r="D47" s="6" t="s">
        <v>146</v>
      </c>
      <c r="E47" s="6" t="s">
        <v>147</v>
      </c>
      <c r="F47" s="6" t="s">
        <v>214</v>
      </c>
    </row>
    <row r="48" spans="1:6" ht="237" customHeight="1" x14ac:dyDescent="0.25">
      <c r="A48" s="13"/>
      <c r="B48" s="7" t="s">
        <v>10</v>
      </c>
      <c r="C48" s="6" t="s">
        <v>148</v>
      </c>
      <c r="D48" s="6" t="s">
        <v>149</v>
      </c>
      <c r="E48" s="6" t="s">
        <v>150</v>
      </c>
      <c r="F48" s="6" t="s">
        <v>215</v>
      </c>
    </row>
    <row r="49" spans="1:6" ht="181.5" customHeight="1" x14ac:dyDescent="0.25">
      <c r="A49" s="13"/>
      <c r="B49" s="7" t="s">
        <v>14</v>
      </c>
      <c r="C49" s="6" t="s">
        <v>212</v>
      </c>
      <c r="D49" s="6" t="s">
        <v>151</v>
      </c>
      <c r="E49" s="6" t="s">
        <v>152</v>
      </c>
      <c r="F49" s="6" t="s">
        <v>211</v>
      </c>
    </row>
    <row r="50" spans="1:6" ht="165.75" customHeight="1" x14ac:dyDescent="0.25">
      <c r="A50" s="13"/>
      <c r="B50" s="7" t="s">
        <v>18</v>
      </c>
      <c r="C50" s="6" t="s">
        <v>153</v>
      </c>
      <c r="D50" s="6" t="s">
        <v>154</v>
      </c>
      <c r="E50" s="6" t="s">
        <v>155</v>
      </c>
      <c r="F50" s="6" t="s">
        <v>199</v>
      </c>
    </row>
    <row r="51" spans="1:6" ht="192" customHeight="1" x14ac:dyDescent="0.25">
      <c r="A51" s="13"/>
      <c r="B51" s="7" t="s">
        <v>22</v>
      </c>
      <c r="C51" s="6" t="s">
        <v>156</v>
      </c>
      <c r="D51" s="6" t="s">
        <v>157</v>
      </c>
      <c r="E51" s="6" t="s">
        <v>158</v>
      </c>
      <c r="F51" s="6" t="s">
        <v>196</v>
      </c>
    </row>
    <row r="52" spans="1:6" ht="132" customHeight="1" x14ac:dyDescent="0.25">
      <c r="A52" s="13"/>
      <c r="B52" s="7" t="s">
        <v>26</v>
      </c>
      <c r="C52" s="6" t="s">
        <v>159</v>
      </c>
      <c r="D52" s="6" t="s">
        <v>160</v>
      </c>
      <c r="E52" s="6" t="s">
        <v>161</v>
      </c>
      <c r="F52" s="6" t="s">
        <v>206</v>
      </c>
    </row>
    <row r="53" spans="1:6" ht="179.25" customHeight="1" x14ac:dyDescent="0.25">
      <c r="A53" s="13"/>
      <c r="B53" s="7" t="s">
        <v>30</v>
      </c>
      <c r="C53" s="6" t="s">
        <v>222</v>
      </c>
      <c r="D53" s="6" t="s">
        <v>219</v>
      </c>
      <c r="E53" s="6" t="s">
        <v>220</v>
      </c>
      <c r="F53" s="6" t="s">
        <v>221</v>
      </c>
    </row>
    <row r="54" spans="1:6" ht="155.25" customHeight="1" x14ac:dyDescent="0.25">
      <c r="A54" s="13"/>
      <c r="B54" s="7" t="s">
        <v>34</v>
      </c>
      <c r="C54" s="6" t="s">
        <v>162</v>
      </c>
      <c r="D54" s="6" t="s">
        <v>163</v>
      </c>
      <c r="E54" s="6" t="s">
        <v>164</v>
      </c>
      <c r="F54" s="6" t="s">
        <v>197</v>
      </c>
    </row>
    <row r="55" spans="1:6" ht="179.25" customHeight="1" x14ac:dyDescent="0.25">
      <c r="A55" s="13"/>
      <c r="B55" s="7" t="s">
        <v>38</v>
      </c>
      <c r="C55" s="6" t="s">
        <v>165</v>
      </c>
      <c r="D55" s="6" t="s">
        <v>166</v>
      </c>
      <c r="E55" s="6" t="s">
        <v>167</v>
      </c>
      <c r="F55" s="6" t="s">
        <v>198</v>
      </c>
    </row>
  </sheetData>
  <mergeCells count="6">
    <mergeCell ref="A47:A55"/>
    <mergeCell ref="A38:A46"/>
    <mergeCell ref="A11:A19"/>
    <mergeCell ref="A2:A10"/>
    <mergeCell ref="A29:A37"/>
    <mergeCell ref="A20:A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8079-7957-409F-8709-E52F4D483E92}">
  <dimension ref="A1:G14"/>
  <sheetViews>
    <sheetView workbookViewId="0">
      <selection activeCell="J16" sqref="J16"/>
    </sheetView>
  </sheetViews>
  <sheetFormatPr baseColWidth="10" defaultRowHeight="15" x14ac:dyDescent="0.25"/>
  <cols>
    <col min="1" max="1" width="33.28515625" bestFit="1" customWidth="1"/>
    <col min="7" max="7" width="13.42578125" bestFit="1" customWidth="1"/>
  </cols>
  <sheetData>
    <row r="1" spans="1:7" x14ac:dyDescent="0.25">
      <c r="A1" s="9" t="s">
        <v>217</v>
      </c>
      <c r="B1" s="1" t="s">
        <v>145</v>
      </c>
      <c r="C1" s="1" t="s">
        <v>7</v>
      </c>
      <c r="D1" s="1" t="s">
        <v>59</v>
      </c>
      <c r="E1" s="1" t="s">
        <v>87</v>
      </c>
      <c r="F1" s="1" t="s">
        <v>42</v>
      </c>
      <c r="G1" s="1" t="s">
        <v>218</v>
      </c>
    </row>
    <row r="2" spans="1:7" x14ac:dyDescent="0.25">
      <c r="A2" s="10" t="s">
        <v>5</v>
      </c>
      <c r="B2" s="11">
        <v>23</v>
      </c>
      <c r="C2" s="11">
        <v>11</v>
      </c>
      <c r="D2" s="11">
        <v>5</v>
      </c>
      <c r="E2" s="11">
        <v>4</v>
      </c>
      <c r="F2" s="11">
        <v>4</v>
      </c>
      <c r="G2" s="11">
        <v>2</v>
      </c>
    </row>
    <row r="3" spans="1:7" x14ac:dyDescent="0.25">
      <c r="A3" s="10" t="s">
        <v>10</v>
      </c>
      <c r="B3" s="11">
        <v>6</v>
      </c>
      <c r="C3" s="11">
        <v>8</v>
      </c>
      <c r="D3" s="11">
        <v>6</v>
      </c>
      <c r="E3" s="11">
        <v>3</v>
      </c>
      <c r="F3" s="11">
        <v>3</v>
      </c>
      <c r="G3" s="11">
        <v>3</v>
      </c>
    </row>
    <row r="4" spans="1:7" x14ac:dyDescent="0.25">
      <c r="A4" s="10" t="s">
        <v>14</v>
      </c>
      <c r="B4" s="11">
        <v>3</v>
      </c>
      <c r="C4" s="11">
        <v>5</v>
      </c>
      <c r="D4" s="11">
        <v>2</v>
      </c>
      <c r="E4" s="11">
        <v>2</v>
      </c>
      <c r="F4" s="11">
        <v>1</v>
      </c>
      <c r="G4" s="11">
        <v>0</v>
      </c>
    </row>
    <row r="5" spans="1:7" x14ac:dyDescent="0.25">
      <c r="A5" s="10" t="s">
        <v>216</v>
      </c>
      <c r="B5" s="11">
        <v>7</v>
      </c>
      <c r="C5" s="11">
        <v>6</v>
      </c>
      <c r="D5" s="11">
        <v>4</v>
      </c>
      <c r="E5" s="11">
        <v>3</v>
      </c>
      <c r="F5" s="11">
        <v>1</v>
      </c>
      <c r="G5" s="11">
        <v>2</v>
      </c>
    </row>
    <row r="6" spans="1:7" x14ac:dyDescent="0.25">
      <c r="A6" s="10" t="s">
        <v>22</v>
      </c>
      <c r="B6" s="11">
        <v>3</v>
      </c>
      <c r="C6" s="11">
        <v>4</v>
      </c>
      <c r="D6" s="11">
        <v>4</v>
      </c>
      <c r="E6" s="11">
        <v>2</v>
      </c>
      <c r="F6" s="11">
        <v>2</v>
      </c>
      <c r="G6" s="11">
        <v>2</v>
      </c>
    </row>
    <row r="7" spans="1:7" x14ac:dyDescent="0.25">
      <c r="A7" s="10" t="s">
        <v>26</v>
      </c>
      <c r="B7" s="11">
        <v>3</v>
      </c>
      <c r="C7" s="11">
        <v>3</v>
      </c>
      <c r="D7" s="11">
        <v>3</v>
      </c>
      <c r="E7" s="11">
        <v>3</v>
      </c>
      <c r="F7" s="11">
        <v>2</v>
      </c>
      <c r="G7" s="11">
        <v>2</v>
      </c>
    </row>
    <row r="8" spans="1:7" x14ac:dyDescent="0.25">
      <c r="A8" s="10" t="s">
        <v>30</v>
      </c>
      <c r="B8" s="11">
        <v>2</v>
      </c>
      <c r="C8" s="11">
        <v>3</v>
      </c>
      <c r="D8" s="11">
        <v>1</v>
      </c>
      <c r="E8" s="11">
        <v>2</v>
      </c>
      <c r="F8" s="11">
        <v>0</v>
      </c>
      <c r="G8" s="11">
        <v>0</v>
      </c>
    </row>
    <row r="9" spans="1:7" x14ac:dyDescent="0.25">
      <c r="A9" s="10" t="s">
        <v>34</v>
      </c>
      <c r="B9" s="11">
        <v>1</v>
      </c>
      <c r="C9" s="11">
        <v>2</v>
      </c>
      <c r="D9" s="11">
        <v>2</v>
      </c>
      <c r="E9" s="11">
        <v>1</v>
      </c>
      <c r="F9" s="11">
        <v>1</v>
      </c>
      <c r="G9" s="11">
        <v>1</v>
      </c>
    </row>
    <row r="10" spans="1:7" x14ac:dyDescent="0.25">
      <c r="A10" s="10" t="s">
        <v>38</v>
      </c>
      <c r="B10" s="11">
        <v>3</v>
      </c>
      <c r="C10" s="11">
        <v>5</v>
      </c>
      <c r="D10" s="11">
        <v>3</v>
      </c>
      <c r="E10" s="11">
        <v>4</v>
      </c>
      <c r="F10" s="11">
        <v>1</v>
      </c>
      <c r="G10" s="11">
        <v>1</v>
      </c>
    </row>
    <row r="11" spans="1:7" x14ac:dyDescent="0.25">
      <c r="A11" s="18"/>
      <c r="B11" s="19"/>
      <c r="C11" s="19"/>
      <c r="D11" s="19"/>
      <c r="E11" s="19"/>
      <c r="F11" s="19"/>
      <c r="G11" s="19"/>
    </row>
    <row r="12" spans="1:7" x14ac:dyDescent="0.25">
      <c r="B12" s="12">
        <f>B2+B3+B4+B5+B6+B7+B8+B9+B10</f>
        <v>51</v>
      </c>
      <c r="C12" s="12">
        <f t="shared" ref="C12:G12" si="0">C2+C3+C4+C5+C6+C7+C8+C9+C10</f>
        <v>47</v>
      </c>
      <c r="D12" s="12">
        <f t="shared" si="0"/>
        <v>30</v>
      </c>
      <c r="E12" s="12">
        <f t="shared" si="0"/>
        <v>24</v>
      </c>
      <c r="F12" s="12">
        <f t="shared" si="0"/>
        <v>15</v>
      </c>
      <c r="G12" s="12">
        <f t="shared" si="0"/>
        <v>13</v>
      </c>
    </row>
    <row r="14" spans="1:7" x14ac:dyDescent="0.25">
      <c r="B14" s="17">
        <f>B12/85</f>
        <v>0.6</v>
      </c>
      <c r="C14" s="17">
        <f t="shared" ref="C14:G14" si="1">C12/85</f>
        <v>0.55294117647058827</v>
      </c>
      <c r="D14" s="17">
        <f t="shared" si="1"/>
        <v>0.35294117647058826</v>
      </c>
      <c r="E14" s="17">
        <f t="shared" si="1"/>
        <v>0.28235294117647058</v>
      </c>
      <c r="F14" s="17">
        <f t="shared" si="1"/>
        <v>0.17647058823529413</v>
      </c>
      <c r="G14" s="17">
        <f t="shared" si="1"/>
        <v>0.15294117647058825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A342-E582-4D95-9C2B-B6EB2FB9EFF3}">
  <dimension ref="A2:A18"/>
  <sheetViews>
    <sheetView topLeftCell="A3" zoomScale="90" zoomScaleNormal="90" workbookViewId="0">
      <selection activeCell="H2" sqref="H2"/>
    </sheetView>
  </sheetViews>
  <sheetFormatPr baseColWidth="10" defaultRowHeight="15" x14ac:dyDescent="0.25"/>
  <cols>
    <col min="1" max="1" width="7.85546875" bestFit="1" customWidth="1"/>
    <col min="2" max="2" width="14.140625" bestFit="1" customWidth="1"/>
    <col min="3" max="3" width="19" customWidth="1"/>
    <col min="4" max="4" width="14.42578125" customWidth="1"/>
    <col min="5" max="5" width="17" customWidth="1"/>
  </cols>
  <sheetData>
    <row r="2" ht="223.5" customHeight="1" x14ac:dyDescent="0.25"/>
    <row r="3" ht="171.75" customHeight="1" x14ac:dyDescent="0.25"/>
    <row r="4" ht="148.5" customHeight="1" x14ac:dyDescent="0.25"/>
    <row r="5" ht="135.75" customHeight="1" x14ac:dyDescent="0.25"/>
    <row r="6" ht="174" customHeight="1" x14ac:dyDescent="0.25"/>
    <row r="7" ht="167.25" customHeight="1" x14ac:dyDescent="0.25"/>
    <row r="8" ht="143.25" customHeight="1" x14ac:dyDescent="0.25"/>
    <row r="9" ht="142.5" customHeight="1" x14ac:dyDescent="0.25"/>
    <row r="10" ht="157.5" customHeight="1" x14ac:dyDescent="0.25"/>
    <row r="11" ht="212.25" customHeight="1" x14ac:dyDescent="0.25"/>
    <row r="12" ht="195" customHeight="1" x14ac:dyDescent="0.25"/>
    <row r="13" ht="123" customHeight="1" x14ac:dyDescent="0.25"/>
    <row r="14" ht="117" customHeight="1" x14ac:dyDescent="0.25"/>
    <row r="15" ht="153.75" customHeight="1" x14ac:dyDescent="0.25"/>
    <row r="16" ht="166.5" customHeight="1" x14ac:dyDescent="0.25"/>
    <row r="17" ht="48.75" customHeight="1" x14ac:dyDescent="0.25"/>
    <row r="18" ht="54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EstudiosXEspecieXPeligro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asoamaime convenio</dc:creator>
  <cp:lastModifiedBy>asoamaime convenio</cp:lastModifiedBy>
  <cp:lastPrinted>2025-12-21T15:16:07Z</cp:lastPrinted>
  <dcterms:created xsi:type="dcterms:W3CDTF">2025-12-06T12:01:22Z</dcterms:created>
  <dcterms:modified xsi:type="dcterms:W3CDTF">2026-01-05T01:09:10Z</dcterms:modified>
</cp:coreProperties>
</file>